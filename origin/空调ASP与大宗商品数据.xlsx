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P_结论" sheetId="1" state="visible" r:id="rId1"/>
    <sheet xmlns:r="http://schemas.openxmlformats.org/officeDocument/2006/relationships" name="ASP_单匹情景" sheetId="2" state="visible" r:id="rId2"/>
    <sheet xmlns:r="http://schemas.openxmlformats.org/officeDocument/2006/relationships" name="ASP_行业校验" sheetId="3" state="visible" r:id="rId3"/>
    <sheet xmlns:r="http://schemas.openxmlformats.org/officeDocument/2006/relationships" name="ASP_财报口径限制" sheetId="4" state="visible" r:id="rId4"/>
    <sheet xmlns:r="http://schemas.openxmlformats.org/officeDocument/2006/relationships" name="大宗商品_年度" sheetId="5" state="visible" r:id="rId5"/>
    <sheet xmlns:r="http://schemas.openxmlformats.org/officeDocument/2006/relationships" name="大宗商品_月度原始" sheetId="6" state="visible" r:id="rId6"/>
    <sheet xmlns:r="http://schemas.openxmlformats.org/officeDocument/2006/relationships" name="大宗商品_同比" sheetId="7" state="visible" r:id="rId7"/>
    <sheet xmlns:r="http://schemas.openxmlformats.org/officeDocument/2006/relationships" name="成本暴露与库存" sheetId="8" state="visible" r:id="rId8"/>
    <sheet xmlns:r="http://schemas.openxmlformats.org/officeDocument/2006/relationships" name="毛利率敏感性" sheetId="9" state="visible" r:id="rId9"/>
    <sheet xmlns:r="http://schemas.openxmlformats.org/officeDocument/2006/relationships" name="来源链接" sheetId="10" state="visible" r:id="rId10"/>
    <sheet xmlns:r="http://schemas.openxmlformats.org/officeDocument/2006/relationships" name="README" sheetId="11" state="visible" r:id="rId11"/>
  </sheets>
  <definedNames>
    <definedName name="_xlnm._FilterDatabase" localSheetId="0" hidden="1">'ASP_结论'!$A$1:$J$4</definedName>
    <definedName name="_xlnm._FilterDatabase" localSheetId="1" hidden="1">'ASP_单匹情景'!$A$1:$E$10</definedName>
    <definedName name="_xlnm._FilterDatabase" localSheetId="2" hidden="1">'ASP_行业校验'!$A$1:$G$6</definedName>
    <definedName name="_xlnm._FilterDatabase" localSheetId="3" hidden="1">'ASP_财报口径限制'!$A$1:$F$4</definedName>
    <definedName name="_xlnm._FilterDatabase" localSheetId="4" hidden="1">'大宗商品_年度'!$A$1:$I$5</definedName>
    <definedName name="_xlnm._FilterDatabase" localSheetId="5" hidden="1">'大宗商品_月度原始'!$A$1:$J$46</definedName>
    <definedName name="_xlnm._FilterDatabase" localSheetId="6" hidden="1">'大宗商品_同比'!$A$1:$D$8</definedName>
    <definedName name="_xlnm._FilterDatabase" localSheetId="7" hidden="1">'成本暴露与库存'!$A$1:$K$4</definedName>
    <definedName name="_xlnm._FilterDatabase" localSheetId="8" hidden="1">'毛利率敏感性'!$A$1:$H$4</definedName>
    <definedName name="_xlnm._FilterDatabase" localSheetId="9" hidden="1">'来源链接'!$A$1:$D$12</definedName>
    <definedName name="_xlnm._FilterDatabase" localSheetId="10" hidden="1">'README'!$A$1:$B$7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name val="等线"/>
      <b val="1"/>
      <color rgb="00FFFFFF"/>
    </font>
    <font>
      <name val="等线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2" fontId="3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hyperlink" Target="https://www.lankeji.com/jiaju/2025/0609/71854.html" TargetMode="External" Id="rId1"/><Relationship Type="http://schemas.openxmlformats.org/officeDocument/2006/relationships/hyperlink" Target="https://news.cheaa.com/2025/0806/648543.shtml" TargetMode="External" Id="rId2"/><Relationship Type="http://schemas.openxmlformats.org/officeDocument/2006/relationships/hyperlink" Target="https://www.fxbaogao.com/detail/4991112" TargetMode="External" Id="rId3"/><Relationship Type="http://schemas.openxmlformats.org/officeDocument/2006/relationships/hyperlink" Target="https://www.cls.cn/detail/2046144" TargetMode="External" Id="rId4"/><Relationship Type="http://schemas.openxmlformats.org/officeDocument/2006/relationships/hyperlink" Target="https://news.mysteel.com/a/26062516/11191BEF3E09F890.html" TargetMode="External" Id="rId5"/><Relationship Type="http://schemas.openxmlformats.org/officeDocument/2006/relationships/hyperlink" Target="https://data.eastmoney.com/report/zw_industry.jshtml?infocode=AP202606281826514744" TargetMode="External" Id="rId6"/><Relationship Type="http://schemas.openxmlformats.org/officeDocument/2006/relationships/hyperlink" Target="https://www.worldbank.org/en/research/commodity-markets" TargetMode="External" Id="rId7"/><Relationship Type="http://schemas.openxmlformats.org/officeDocument/2006/relationships/hyperlink" Target="https://thedocs.worldbank.org/en/doc/74e8be41ceb20fa0da750cda2f6b9e4e-0050012026/related/CMO-Historical-Data-Monthly.xlsx" TargetMode="External" Id="rId8"/><Relationship Type="http://schemas.openxmlformats.org/officeDocument/2006/relationships/hyperlink" Target="https://static.cninfo.com.cn/finalpage/2026-04-29/1225250396.PDF" TargetMode="External" Id="rId9"/><Relationship Type="http://schemas.openxmlformats.org/officeDocument/2006/relationships/hyperlink" Target="https://www.midea.com.cn/zh/Investors/Financial_Reports" TargetMode="External" Id="rId10"/><Relationship Type="http://schemas.openxmlformats.org/officeDocument/2006/relationships/hyperlink" Target="https://static.cninfo.com.cn/finalpage/2026-03-27/1225038336.PDF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6" customWidth="1" min="4" max="4"/>
    <col width="11" customWidth="1" min="5" max="5"/>
    <col width="11" customWidth="1" min="6" max="6"/>
    <col width="11" customWidth="1" min="7" max="7"/>
    <col width="32" customWidth="1" min="8" max="8"/>
    <col width="11" customWidth="1" min="9" max="9"/>
    <col width="42" customWidth="1" min="10" max="10"/>
  </cols>
  <sheetData>
    <row r="1" ht="30" customHeight="1">
      <c r="A1" s="1" t="inlineStr">
        <is>
          <t>公司/主品牌</t>
        </is>
      </c>
      <c r="B1" s="1" t="inlineStr">
        <is>
          <t>2025线上ASP</t>
        </is>
      </c>
      <c r="C1" s="1" t="inlineStr">
        <is>
          <t>同比%</t>
        </is>
      </c>
      <c r="D1" s="1" t="inlineStr">
        <is>
          <t>2024同期隐含ASP</t>
        </is>
      </c>
      <c r="E1" s="1" t="inlineStr">
        <is>
          <t>线上销量份额%</t>
        </is>
      </c>
      <c r="F1" s="1" t="inlineStr">
        <is>
          <t>子品牌</t>
        </is>
      </c>
      <c r="G1" s="1" t="inlineStr">
        <is>
          <t>子品牌ASP</t>
        </is>
      </c>
      <c r="H1" s="1" t="inlineStr">
        <is>
          <t>品牌体系加权ASP</t>
        </is>
      </c>
      <c r="I1" s="1" t="n"/>
      <c r="J1" s="1" t="inlineStr">
        <is>
          <t>口径说明</t>
        </is>
      </c>
    </row>
    <row r="2">
      <c r="A2" s="2" t="inlineStr">
        <is>
          <t>格力</t>
        </is>
      </c>
      <c r="B2" s="3" t="n">
        <v>3528</v>
      </c>
      <c r="C2" s="3" t="n">
        <v>-2.05</v>
      </c>
      <c r="D2" s="2">
        <f>B2/(1+C2/100)</f>
        <v/>
      </c>
      <c r="E2" s="3" t="n">
        <v>18.39</v>
      </c>
      <c r="F2" s="2" t="n"/>
      <c r="G2" s="2" t="n"/>
      <c r="H2" s="2" t="n"/>
      <c r="I2" s="2" t="n"/>
      <c r="J2" s="2" t="inlineStr">
        <is>
          <t>期间：2024-12-30至2025-06-01；线上零售；主品牌。2024值为按同比反推。</t>
        </is>
      </c>
    </row>
    <row r="3">
      <c r="A3" s="2" t="inlineStr">
        <is>
          <t>美的</t>
        </is>
      </c>
      <c r="B3" s="3" t="n">
        <v>2967</v>
      </c>
      <c r="C3" s="3" t="n">
        <v>-12.23</v>
      </c>
      <c r="D3" s="2">
        <f>B3/(1+C3/100)</f>
        <v/>
      </c>
      <c r="E3" s="3" t="n">
        <v>23.14</v>
      </c>
      <c r="F3" s="2" t="inlineStr">
        <is>
          <t>华凌</t>
        </is>
      </c>
      <c r="G3" s="3" t="n">
        <v>2108</v>
      </c>
      <c r="H3" s="2">
        <f>(B3*E3+2108*10.36)/(E3+10.36)</f>
        <v/>
      </c>
      <c r="I3" s="2" t="n"/>
      <c r="J3" s="2" t="inlineStr">
        <is>
          <t>品牌体系ASP仅合并已披露的主品牌+子品牌，不等于公司全部品牌/全渠道ASP。</t>
        </is>
      </c>
    </row>
    <row r="4">
      <c r="A4" s="2" t="inlineStr">
        <is>
          <t>海尔</t>
        </is>
      </c>
      <c r="B4" s="3" t="n">
        <v>2820</v>
      </c>
      <c r="C4" s="3" t="n">
        <v>-8.210000000000001</v>
      </c>
      <c r="D4" s="2">
        <f>B4/(1+C4/100)</f>
        <v/>
      </c>
      <c r="E4" s="3" t="n">
        <v>6.44</v>
      </c>
      <c r="F4" s="2" t="inlineStr">
        <is>
          <t>统帅</t>
        </is>
      </c>
      <c r="G4" s="3" t="n">
        <v>1939</v>
      </c>
      <c r="H4" s="2">
        <f>(B4*E4+1939*4.13)/(E4+4.13)</f>
        <v/>
      </c>
      <c r="I4" s="2" t="n"/>
      <c r="J4" s="2" t="n"/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1" customWidth="1" min="5" max="5"/>
  </cols>
  <sheetData>
    <row r="1" ht="30" customHeight="1">
      <c r="A1" s="1" t="inlineStr">
        <is>
          <t>公司/主品牌</t>
        </is>
      </c>
      <c r="B1" s="1" t="inlineStr">
        <is>
          <t>假设平均匹数</t>
        </is>
      </c>
      <c r="C1" s="1" t="inlineStr">
        <is>
          <t>ASP元/台</t>
        </is>
      </c>
      <c r="D1" s="1" t="inlineStr">
        <is>
          <t>标准化元/匹</t>
        </is>
      </c>
      <c r="E1" s="1" t="inlineStr">
        <is>
          <t>说明</t>
        </is>
      </c>
    </row>
    <row r="2">
      <c r="A2" s="2" t="inlineStr">
        <is>
          <t>格力</t>
        </is>
      </c>
      <c r="B2" s="3" t="n">
        <v>1.5</v>
      </c>
      <c r="C2" s="3" t="n">
        <v>3528</v>
      </c>
      <c r="D2" s="2">
        <f>C2/B2</f>
        <v/>
      </c>
      <c r="E2" s="2" t="inlineStr">
        <is>
          <t>主品牌线上ASP÷假设加权平均匹数；非实际1匹SKU成交价</t>
        </is>
      </c>
    </row>
    <row r="3">
      <c r="A3" s="2" t="inlineStr">
        <is>
          <t>格力</t>
        </is>
      </c>
      <c r="B3" s="3" t="n">
        <v>1.6</v>
      </c>
      <c r="C3" s="3" t="n">
        <v>3528</v>
      </c>
      <c r="D3" s="2">
        <f>C3/B3</f>
        <v/>
      </c>
      <c r="E3" s="2" t="inlineStr">
        <is>
          <t>主品牌线上ASP÷假设加权平均匹数；非实际1匹SKU成交价</t>
        </is>
      </c>
    </row>
    <row r="4">
      <c r="A4" s="2" t="inlineStr">
        <is>
          <t>格力</t>
        </is>
      </c>
      <c r="B4" s="3" t="n">
        <v>1.7</v>
      </c>
      <c r="C4" s="3" t="n">
        <v>3528</v>
      </c>
      <c r="D4" s="2">
        <f>C4/B4</f>
        <v/>
      </c>
      <c r="E4" s="2" t="inlineStr">
        <is>
          <t>主品牌线上ASP÷假设加权平均匹数；非实际1匹SKU成交价</t>
        </is>
      </c>
    </row>
    <row r="5">
      <c r="A5" s="2" t="inlineStr">
        <is>
          <t>美的</t>
        </is>
      </c>
      <c r="B5" s="3" t="n">
        <v>1.5</v>
      </c>
      <c r="C5" s="3" t="n">
        <v>2967</v>
      </c>
      <c r="D5" s="2">
        <f>C5/B5</f>
        <v/>
      </c>
      <c r="E5" s="2" t="inlineStr">
        <is>
          <t>主品牌线上ASP÷假设加权平均匹数；非实际1匹SKU成交价</t>
        </is>
      </c>
    </row>
    <row r="6">
      <c r="A6" s="2" t="inlineStr">
        <is>
          <t>美的</t>
        </is>
      </c>
      <c r="B6" s="3" t="n">
        <v>1.6</v>
      </c>
      <c r="C6" s="3" t="n">
        <v>2967</v>
      </c>
      <c r="D6" s="2">
        <f>C6/B6</f>
        <v/>
      </c>
      <c r="E6" s="2" t="inlineStr">
        <is>
          <t>主品牌线上ASP÷假设加权平均匹数；非实际1匹SKU成交价</t>
        </is>
      </c>
    </row>
    <row r="7">
      <c r="A7" s="2" t="inlineStr">
        <is>
          <t>美的</t>
        </is>
      </c>
      <c r="B7" s="3" t="n">
        <v>1.7</v>
      </c>
      <c r="C7" s="3" t="n">
        <v>2967</v>
      </c>
      <c r="D7" s="2">
        <f>C7/B7</f>
        <v/>
      </c>
      <c r="E7" s="2" t="inlineStr">
        <is>
          <t>主品牌线上ASP÷假设加权平均匹数；非实际1匹SKU成交价</t>
        </is>
      </c>
    </row>
    <row r="8">
      <c r="A8" s="2" t="inlineStr">
        <is>
          <t>海尔</t>
        </is>
      </c>
      <c r="B8" s="3" t="n">
        <v>1.5</v>
      </c>
      <c r="C8" s="3" t="n">
        <v>2820</v>
      </c>
      <c r="D8" s="2">
        <f>C8/B8</f>
        <v/>
      </c>
      <c r="E8" s="2" t="inlineStr">
        <is>
          <t>主品牌线上ASP÷假设加权平均匹数；非实际1匹SKU成交价</t>
        </is>
      </c>
    </row>
    <row r="9">
      <c r="A9" s="2" t="inlineStr">
        <is>
          <t>海尔</t>
        </is>
      </c>
      <c r="B9" s="3" t="n">
        <v>1.6</v>
      </c>
      <c r="C9" s="3" t="n">
        <v>2820</v>
      </c>
      <c r="D9" s="2">
        <f>C9/B9</f>
        <v/>
      </c>
      <c r="E9" s="2" t="inlineStr">
        <is>
          <t>主品牌线上ASP÷假设加权平均匹数；非实际1匹SKU成交价</t>
        </is>
      </c>
    </row>
    <row r="10">
      <c r="A10" s="2" t="inlineStr">
        <is>
          <t>海尔</t>
        </is>
      </c>
      <c r="B10" s="3" t="n">
        <v>1.7</v>
      </c>
      <c r="C10" s="3" t="n">
        <v>2820</v>
      </c>
      <c r="D10" s="2">
        <f>C10/B10</f>
        <v/>
      </c>
      <c r="E10" s="2" t="inlineStr">
        <is>
          <t>主品牌线上ASP÷假设加权平均匹数；非实际1匹SKU成交价</t>
        </is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11" customWidth="1" min="4" max="4"/>
    <col width="20" customWidth="1" min="5" max="5"/>
    <col width="11" customWidth="1" min="6" max="6"/>
    <col width="14" customWidth="1" min="7" max="7"/>
  </cols>
  <sheetData>
    <row r="1" ht="30" customHeight="1">
      <c r="A1" s="1" t="inlineStr">
        <is>
          <t>期间</t>
        </is>
      </c>
      <c r="B1" s="1" t="inlineStr">
        <is>
          <t>渠道</t>
        </is>
      </c>
      <c r="C1" s="1" t="inlineStr">
        <is>
          <t>零售额亿元</t>
        </is>
      </c>
      <c r="D1" s="1" t="inlineStr">
        <is>
          <t>零售量万台</t>
        </is>
      </c>
      <c r="E1" s="1" t="inlineStr">
        <is>
          <t>ASP元/台</t>
        </is>
      </c>
      <c r="F1" s="1" t="inlineStr">
        <is>
          <t>来源</t>
        </is>
      </c>
      <c r="G1" s="1" t="inlineStr">
        <is>
          <t>计算/说明</t>
        </is>
      </c>
    </row>
    <row r="2">
      <c r="A2" s="2" t="inlineStr">
        <is>
          <t>2025H1</t>
        </is>
      </c>
      <c r="B2" s="2" t="inlineStr">
        <is>
          <t>全渠道</t>
        </is>
      </c>
      <c r="C2" s="3" t="n">
        <v>1263</v>
      </c>
      <c r="D2" s="3" t="n">
        <v>3845</v>
      </c>
      <c r="E2" s="3" t="n">
        <v>3284.785435630689</v>
      </c>
      <c r="F2" s="2" t="inlineStr">
        <is>
          <t>S2</t>
        </is>
      </c>
      <c r="G2" s="2" t="inlineStr">
        <is>
          <t>零售额÷零售量</t>
        </is>
      </c>
    </row>
    <row r="3">
      <c r="A3" s="2" t="inlineStr">
        <is>
          <t>2025Q2</t>
        </is>
      </c>
      <c r="B3" s="2" t="inlineStr">
        <is>
          <t>线上</t>
        </is>
      </c>
      <c r="C3" s="3" t="n">
        <v>340</v>
      </c>
      <c r="D3" s="3" t="n">
        <v>1348</v>
      </c>
      <c r="E3" s="3" t="n">
        <v>2522.255192878338</v>
      </c>
      <c r="F3" s="2" t="inlineStr">
        <is>
          <t>S3</t>
        </is>
      </c>
      <c r="G3" s="2" t="inlineStr">
        <is>
          <t>研报披露均价约2525元</t>
        </is>
      </c>
    </row>
    <row r="4">
      <c r="A4" s="2" t="inlineStr">
        <is>
          <t>2026年618 W20-25</t>
        </is>
      </c>
      <c r="B4" s="2" t="inlineStr">
        <is>
          <t>全渠道</t>
        </is>
      </c>
      <c r="C4" s="3" t="n">
        <v>418</v>
      </c>
      <c r="D4" s="3" t="n">
        <v>1380</v>
      </c>
      <c r="E4" s="3" t="n">
        <v>3028.985507246377</v>
      </c>
      <c r="F4" s="2" t="inlineStr">
        <is>
          <t>S6</t>
        </is>
      </c>
      <c r="G4" s="2" t="inlineStr">
        <is>
          <t>零售额÷零售量</t>
        </is>
      </c>
    </row>
    <row r="5">
      <c r="A5" s="2" t="inlineStr">
        <is>
          <t>2026年618 W20-25</t>
        </is>
      </c>
      <c r="B5" s="2" t="inlineStr">
        <is>
          <t>线上</t>
        </is>
      </c>
      <c r="C5" s="3" t="n">
        <v>242</v>
      </c>
      <c r="D5" s="2" t="n"/>
      <c r="E5" s="3" t="n">
        <v>2291</v>
      </c>
      <c r="F5" s="2" t="inlineStr">
        <is>
          <t>S5</t>
        </is>
      </c>
      <c r="G5" s="2" t="inlineStr">
        <is>
          <t>奥维监测均价</t>
        </is>
      </c>
    </row>
    <row r="6">
      <c r="A6" s="2" t="inlineStr">
        <is>
          <t>2026年618 W20-25</t>
        </is>
      </c>
      <c r="B6" s="2" t="inlineStr">
        <is>
          <t>线下</t>
        </is>
      </c>
      <c r="C6" s="3" t="n">
        <v>175</v>
      </c>
      <c r="D6" s="2" t="n"/>
      <c r="E6" s="3" t="n">
        <v>3915</v>
      </c>
      <c r="F6" s="2" t="inlineStr">
        <is>
          <t>S5</t>
        </is>
      </c>
      <c r="G6" s="2" t="inlineStr">
        <is>
          <t>奥维监测均价</t>
        </is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11" customWidth="1" min="4" max="4"/>
    <col width="21" customWidth="1" min="5" max="5"/>
    <col width="11" customWidth="1" min="6" max="6"/>
  </cols>
  <sheetData>
    <row r="1" ht="30" customHeight="1">
      <c r="A1" s="1" t="inlineStr">
        <is>
          <t>公司</t>
        </is>
      </c>
      <c r="B1" s="1" t="inlineStr">
        <is>
          <t>2025年收入披露</t>
        </is>
      </c>
      <c r="C1" s="1" t="inlineStr">
        <is>
          <t>2025年销量披露</t>
        </is>
      </c>
      <c r="D1" s="1" t="inlineStr">
        <is>
          <t>公司口径ASP</t>
        </is>
      </c>
      <c r="E1" s="1" t="inlineStr">
        <is>
          <t>主要问题</t>
        </is>
      </c>
      <c r="F1" s="1" t="inlineStr">
        <is>
          <t>来源</t>
        </is>
      </c>
    </row>
    <row r="2">
      <c r="A2" s="2" t="inlineStr">
        <is>
          <t>格力电器</t>
        </is>
      </c>
      <c r="B2" s="2" t="inlineStr">
        <is>
          <t>消费电器收入1,330.55亿元</t>
        </is>
      </c>
      <c r="C2" s="2" t="inlineStr">
        <is>
          <t>未披露可与收入匹配的空调销量</t>
        </is>
      </c>
      <c r="D2" s="2" t="inlineStr">
        <is>
          <t>不可直接计算</t>
        </is>
      </c>
      <c r="E2" s="2" t="inlineStr">
        <is>
          <t>收入包含非空调消费电器；销量口径不匹配</t>
        </is>
      </c>
      <c r="F2" s="2" t="inlineStr">
        <is>
          <t>S9</t>
        </is>
      </c>
    </row>
    <row r="3">
      <c r="A3" s="2" t="inlineStr">
        <is>
          <t>美的集团</t>
        </is>
      </c>
      <c r="B3" s="2" t="inlineStr">
        <is>
          <t>智能家居收入2,999.27亿元</t>
        </is>
      </c>
      <c r="C3" s="2" t="inlineStr">
        <is>
          <t>家用电器销售量73,586.93万台/套</t>
        </is>
      </c>
      <c r="D3" s="2" t="inlineStr">
        <is>
          <t>不可直接计算</t>
        </is>
      </c>
      <c r="E3" s="2" t="inlineStr">
        <is>
          <t>收入与销量均覆盖多品类，不是空调单品</t>
        </is>
      </c>
      <c r="F3" s="2" t="inlineStr">
        <is>
          <t>S10</t>
        </is>
      </c>
    </row>
    <row r="4">
      <c r="A4" s="2" t="inlineStr">
        <is>
          <t>海尔智家</t>
        </is>
      </c>
      <c r="B4" s="2" t="inlineStr">
        <is>
          <t>空调收入537.42亿元</t>
        </is>
      </c>
      <c r="C4" s="2" t="inlineStr">
        <is>
          <t>家用电器销售量13,695万台/套</t>
        </is>
      </c>
      <c r="D4" s="2" t="inlineStr">
        <is>
          <t>不可直接计算</t>
        </is>
      </c>
      <c r="E4" s="2" t="inlineStr">
        <is>
          <t>收入是空调口径，但销量是多品类合计</t>
        </is>
      </c>
      <c r="F4" s="2" t="inlineStr">
        <is>
          <t>S11</t>
        </is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9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1" customWidth="1" min="9" max="9"/>
  </cols>
  <sheetData>
    <row r="1" ht="30" customHeight="1">
      <c r="A1" s="1" t="inlineStr">
        <is>
          <t>year</t>
        </is>
      </c>
      <c r="B1" s="1" t="inlineStr">
        <is>
          <t>原油均价($/bbl)</t>
        </is>
      </c>
      <c r="C1" s="1" t="inlineStr">
        <is>
          <t>Brent($/bbl)</t>
        </is>
      </c>
      <c r="D1" s="1" t="inlineStr">
        <is>
          <t>铝($/mt)</t>
        </is>
      </c>
      <c r="E1" s="1" t="inlineStr">
        <is>
          <t>铁矿石($/dmt)</t>
        </is>
      </c>
      <c r="F1" s="1" t="inlineStr">
        <is>
          <t>铜($/mt)</t>
        </is>
      </c>
      <c r="G1" s="1" t="inlineStr">
        <is>
          <t>黄金($/toz)</t>
        </is>
      </c>
      <c r="H1" s="1" t="inlineStr">
        <is>
          <t>白银($/toz)</t>
        </is>
      </c>
      <c r="I1" s="1" t="inlineStr">
        <is>
          <t>期间口径</t>
        </is>
      </c>
    </row>
    <row r="2">
      <c r="A2" s="3" t="n">
        <v>2023</v>
      </c>
      <c r="B2" s="3" t="n">
        <v>80.76666666666667</v>
      </c>
      <c r="C2" s="3" t="n">
        <v>82.625</v>
      </c>
      <c r="D2" s="3" t="n">
        <v>2255.75</v>
      </c>
      <c r="E2" s="3" t="n">
        <v>120.5916666666667</v>
      </c>
      <c r="F2" s="3" t="n">
        <v>8490.333333333334</v>
      </c>
      <c r="G2" s="3" t="n">
        <v>1942.75</v>
      </c>
      <c r="H2" s="3" t="n">
        <v>23.40833333333333</v>
      </c>
      <c r="I2" s="2" t="inlineStr">
        <is>
          <t>全年均值</t>
        </is>
      </c>
    </row>
    <row r="3">
      <c r="A3" s="3" t="n">
        <v>2024</v>
      </c>
      <c r="B3" s="3" t="n">
        <v>78.72500000000001</v>
      </c>
      <c r="C3" s="3" t="n">
        <v>80.70833333333333</v>
      </c>
      <c r="D3" s="3" t="n">
        <v>2419.083333333333</v>
      </c>
      <c r="E3" s="3" t="n">
        <v>109.4083333333333</v>
      </c>
      <c r="F3" s="3" t="n">
        <v>9142</v>
      </c>
      <c r="G3" s="3" t="n">
        <v>2387.583333333333</v>
      </c>
      <c r="H3" s="3" t="n">
        <v>28.275</v>
      </c>
      <c r="I3" s="2" t="inlineStr">
        <is>
          <t>全年均值</t>
        </is>
      </c>
    </row>
    <row r="4">
      <c r="A4" s="3" t="n">
        <v>2025</v>
      </c>
      <c r="B4" s="3" t="n">
        <v>67.41666666666667</v>
      </c>
      <c r="C4" s="3" t="n">
        <v>69.05</v>
      </c>
      <c r="D4" s="3" t="n">
        <v>2631.666666666667</v>
      </c>
      <c r="E4" s="3" t="n">
        <v>100.1833333333333</v>
      </c>
      <c r="F4" s="3" t="n">
        <v>9947.416666666666</v>
      </c>
      <c r="G4" s="3" t="n">
        <v>3441.5</v>
      </c>
      <c r="H4" s="3" t="n">
        <v>39.8</v>
      </c>
      <c r="I4" s="2" t="inlineStr">
        <is>
          <t>全年均值</t>
        </is>
      </c>
    </row>
    <row r="5">
      <c r="A5" s="3" t="n">
        <v>2026</v>
      </c>
      <c r="B5" s="3" t="n">
        <v>86.64444444444445</v>
      </c>
      <c r="C5" s="3" t="n">
        <v>94</v>
      </c>
      <c r="D5" s="3" t="n">
        <v>3331.111111111111</v>
      </c>
      <c r="E5" s="3" t="n">
        <v>101.8333333333333</v>
      </c>
      <c r="F5" s="3" t="n">
        <v>13431.22222222222</v>
      </c>
      <c r="G5" s="3" t="n">
        <v>4552</v>
      </c>
      <c r="H5" s="3" t="n">
        <v>73.47777777777777</v>
      </c>
      <c r="I5" s="2" t="inlineStr">
        <is>
          <t>1-9月均值</t>
        </is>
      </c>
    </row>
  </sheetData>
  <autoFilter ref="A1:I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1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30" customHeight="1">
      <c r="A1" s="1" t="inlineStr">
        <is>
          <t>period</t>
        </is>
      </c>
      <c r="B1" s="1" t="inlineStr">
        <is>
          <t>原油均价($/bbl)</t>
        </is>
      </c>
      <c r="C1" s="1" t="inlineStr">
        <is>
          <t>Brent($/bbl)</t>
        </is>
      </c>
      <c r="D1" s="1" t="inlineStr">
        <is>
          <t>铝($/mt)</t>
        </is>
      </c>
      <c r="E1" s="1" t="inlineStr">
        <is>
          <t>铁矿石($/dmt)</t>
        </is>
      </c>
      <c r="F1" s="1" t="inlineStr">
        <is>
          <t>铜($/mt)</t>
        </is>
      </c>
      <c r="G1" s="1" t="inlineStr">
        <is>
          <t>黄金($/toz)</t>
        </is>
      </c>
      <c r="H1" s="1" t="inlineStr">
        <is>
          <t>白银($/toz)</t>
        </is>
      </c>
      <c r="I1" s="1" t="inlineStr">
        <is>
          <t>year</t>
        </is>
      </c>
      <c r="J1" s="1" t="inlineStr">
        <is>
          <t>month</t>
        </is>
      </c>
    </row>
    <row r="2">
      <c r="A2" s="2" t="inlineStr">
        <is>
          <t>2023M01</t>
        </is>
      </c>
      <c r="B2" s="3" t="n">
        <v>80.40000000000001</v>
      </c>
      <c r="C2" s="3" t="n">
        <v>83.09999999999999</v>
      </c>
      <c r="D2" s="3" t="n">
        <v>2502</v>
      </c>
      <c r="E2" s="3" t="n">
        <v>122.2</v>
      </c>
      <c r="F2" s="3" t="n">
        <v>9038</v>
      </c>
      <c r="G2" s="3" t="n">
        <v>1898</v>
      </c>
      <c r="H2" s="3" t="n">
        <v>23.7</v>
      </c>
      <c r="I2" s="3" t="n">
        <v>2023</v>
      </c>
      <c r="J2" s="3" t="n">
        <v>1</v>
      </c>
    </row>
    <row r="3">
      <c r="A3" s="2" t="inlineStr">
        <is>
          <t>2023M02</t>
        </is>
      </c>
      <c r="B3" s="3" t="n">
        <v>80.3</v>
      </c>
      <c r="C3" s="3" t="n">
        <v>82.7</v>
      </c>
      <c r="D3" s="3" t="n">
        <v>2416</v>
      </c>
      <c r="E3" s="3" t="n">
        <v>127.6</v>
      </c>
      <c r="F3" s="3" t="n">
        <v>8937</v>
      </c>
      <c r="G3" s="3" t="n">
        <v>1855</v>
      </c>
      <c r="H3" s="3" t="n">
        <v>21.9</v>
      </c>
      <c r="I3" s="3" t="n">
        <v>2023</v>
      </c>
      <c r="J3" s="3" t="n">
        <v>2</v>
      </c>
    </row>
    <row r="4">
      <c r="A4" s="2" t="inlineStr">
        <is>
          <t>2023M03</t>
        </is>
      </c>
      <c r="B4" s="3" t="n">
        <v>76.5</v>
      </c>
      <c r="C4" s="3" t="n">
        <v>78.5</v>
      </c>
      <c r="D4" s="3" t="n">
        <v>2296</v>
      </c>
      <c r="E4" s="3" t="n">
        <v>128.4</v>
      </c>
      <c r="F4" s="3" t="n">
        <v>8856</v>
      </c>
      <c r="G4" s="3" t="n">
        <v>1913</v>
      </c>
      <c r="H4" s="3" t="n">
        <v>22</v>
      </c>
      <c r="I4" s="3" t="n">
        <v>2023</v>
      </c>
      <c r="J4" s="3" t="n">
        <v>3</v>
      </c>
    </row>
    <row r="5">
      <c r="A5" s="2" t="inlineStr">
        <is>
          <t>2023M04</t>
        </is>
      </c>
      <c r="B5" s="3" t="n">
        <v>82.5</v>
      </c>
      <c r="C5" s="3" t="n">
        <v>84.09999999999999</v>
      </c>
      <c r="D5" s="3" t="n">
        <v>2343</v>
      </c>
      <c r="E5" s="3" t="n">
        <v>117.4</v>
      </c>
      <c r="F5" s="3" t="n">
        <v>8809</v>
      </c>
      <c r="G5" s="3" t="n">
        <v>2000</v>
      </c>
      <c r="H5" s="3" t="n">
        <v>25</v>
      </c>
      <c r="I5" s="3" t="n">
        <v>2023</v>
      </c>
      <c r="J5" s="3" t="n">
        <v>4</v>
      </c>
    </row>
    <row r="6">
      <c r="A6" s="2" t="inlineStr">
        <is>
          <t>2023M05</t>
        </is>
      </c>
      <c r="B6" s="3" t="n">
        <v>74.09999999999999</v>
      </c>
      <c r="C6" s="3" t="n">
        <v>75.7</v>
      </c>
      <c r="D6" s="3" t="n">
        <v>2269</v>
      </c>
      <c r="E6" s="3" t="n">
        <v>105.2</v>
      </c>
      <c r="F6" s="3" t="n">
        <v>8217</v>
      </c>
      <c r="G6" s="3" t="n">
        <v>1992</v>
      </c>
      <c r="H6" s="3" t="n">
        <v>24.3</v>
      </c>
      <c r="I6" s="3" t="n">
        <v>2023</v>
      </c>
      <c r="J6" s="3" t="n">
        <v>5</v>
      </c>
    </row>
    <row r="7">
      <c r="A7" s="2" t="inlineStr">
        <is>
          <t>2023M06</t>
        </is>
      </c>
      <c r="B7" s="3" t="n">
        <v>73.3</v>
      </c>
      <c r="C7" s="3" t="n">
        <v>74.90000000000001</v>
      </c>
      <c r="D7" s="3" t="n">
        <v>2185</v>
      </c>
      <c r="E7" s="3" t="n">
        <v>113.5</v>
      </c>
      <c r="F7" s="3" t="n">
        <v>8397</v>
      </c>
      <c r="G7" s="3" t="n">
        <v>1943</v>
      </c>
      <c r="H7" s="3" t="n">
        <v>23.4</v>
      </c>
      <c r="I7" s="3" t="n">
        <v>2023</v>
      </c>
      <c r="J7" s="3" t="n">
        <v>6</v>
      </c>
    </row>
    <row r="8">
      <c r="A8" s="2" t="inlineStr">
        <is>
          <t>2023M07</t>
        </is>
      </c>
      <c r="B8" s="3" t="n">
        <v>79</v>
      </c>
      <c r="C8" s="3" t="n">
        <v>80.09999999999999</v>
      </c>
      <c r="D8" s="3" t="n">
        <v>2160</v>
      </c>
      <c r="E8" s="3" t="n">
        <v>114.4</v>
      </c>
      <c r="F8" s="3" t="n">
        <v>8477</v>
      </c>
      <c r="G8" s="3" t="n">
        <v>1951</v>
      </c>
      <c r="H8" s="3" t="n">
        <v>24.3</v>
      </c>
      <c r="I8" s="3" t="n">
        <v>2023</v>
      </c>
      <c r="J8" s="3" t="n">
        <v>7</v>
      </c>
    </row>
    <row r="9">
      <c r="A9" s="2" t="inlineStr">
        <is>
          <t>2023M08</t>
        </is>
      </c>
      <c r="B9" s="3" t="n">
        <v>84.7</v>
      </c>
      <c r="C9" s="3" t="n">
        <v>86.2</v>
      </c>
      <c r="D9" s="3" t="n">
        <v>2137</v>
      </c>
      <c r="E9" s="3" t="n">
        <v>110.2</v>
      </c>
      <c r="F9" s="3" t="n">
        <v>8349</v>
      </c>
      <c r="G9" s="3" t="n">
        <v>1919</v>
      </c>
      <c r="H9" s="3" t="n">
        <v>23.4</v>
      </c>
      <c r="I9" s="3" t="n">
        <v>2023</v>
      </c>
      <c r="J9" s="3" t="n">
        <v>8</v>
      </c>
    </row>
    <row r="10">
      <c r="A10" s="2" t="inlineStr">
        <is>
          <t>2023M09</t>
        </is>
      </c>
      <c r="B10" s="3" t="n">
        <v>92.2</v>
      </c>
      <c r="C10" s="3" t="n">
        <v>94</v>
      </c>
      <c r="D10" s="3" t="n">
        <v>2185</v>
      </c>
      <c r="E10" s="3" t="n">
        <v>121</v>
      </c>
      <c r="F10" s="3" t="n">
        <v>8277</v>
      </c>
      <c r="G10" s="3" t="n">
        <v>1916</v>
      </c>
      <c r="H10" s="3" t="n">
        <v>23.1</v>
      </c>
      <c r="I10" s="3" t="n">
        <v>2023</v>
      </c>
      <c r="J10" s="3" t="n">
        <v>9</v>
      </c>
    </row>
    <row r="11">
      <c r="A11" s="2" t="inlineStr">
        <is>
          <t>2023M10</t>
        </is>
      </c>
      <c r="B11" s="3" t="n">
        <v>89.09999999999999</v>
      </c>
      <c r="C11" s="3" t="n">
        <v>91.09999999999999</v>
      </c>
      <c r="D11" s="3" t="n">
        <v>2192</v>
      </c>
      <c r="E11" s="3" t="n">
        <v>119</v>
      </c>
      <c r="F11" s="3" t="n">
        <v>7937</v>
      </c>
      <c r="G11" s="3" t="n">
        <v>1916</v>
      </c>
      <c r="H11" s="3" t="n">
        <v>22.4</v>
      </c>
      <c r="I11" s="3" t="n">
        <v>2023</v>
      </c>
      <c r="J11" s="3" t="n">
        <v>10</v>
      </c>
    </row>
    <row r="12">
      <c r="A12" s="2" t="inlineStr">
        <is>
          <t>2023M11</t>
        </is>
      </c>
      <c r="B12" s="3" t="n">
        <v>81.40000000000001</v>
      </c>
      <c r="C12" s="3" t="n">
        <v>83.2</v>
      </c>
      <c r="D12" s="3" t="n">
        <v>2202</v>
      </c>
      <c r="E12" s="3" t="n">
        <v>131.1</v>
      </c>
      <c r="F12" s="3" t="n">
        <v>8190</v>
      </c>
      <c r="G12" s="3" t="n">
        <v>1984</v>
      </c>
      <c r="H12" s="3" t="n">
        <v>23.5</v>
      </c>
      <c r="I12" s="3" t="n">
        <v>2023</v>
      </c>
      <c r="J12" s="3" t="n">
        <v>11</v>
      </c>
    </row>
    <row r="13">
      <c r="A13" s="2" t="inlineStr">
        <is>
          <t>2023M12</t>
        </is>
      </c>
      <c r="B13" s="3" t="n">
        <v>75.7</v>
      </c>
      <c r="C13" s="3" t="n">
        <v>77.90000000000001</v>
      </c>
      <c r="D13" s="3" t="n">
        <v>2182</v>
      </c>
      <c r="E13" s="3" t="n">
        <v>137.1</v>
      </c>
      <c r="F13" s="3" t="n">
        <v>8400</v>
      </c>
      <c r="G13" s="3" t="n">
        <v>2026</v>
      </c>
      <c r="H13" s="3" t="n">
        <v>23.9</v>
      </c>
      <c r="I13" s="3" t="n">
        <v>2023</v>
      </c>
      <c r="J13" s="3" t="n">
        <v>12</v>
      </c>
    </row>
    <row r="14">
      <c r="A14" s="2" t="inlineStr">
        <is>
          <t>2024M01</t>
        </is>
      </c>
      <c r="B14" s="3" t="n">
        <v>77.7</v>
      </c>
      <c r="C14" s="3" t="n">
        <v>80.2</v>
      </c>
      <c r="D14" s="3" t="n">
        <v>2193</v>
      </c>
      <c r="E14" s="3" t="n">
        <v>135.8</v>
      </c>
      <c r="F14" s="3" t="n">
        <v>8339</v>
      </c>
      <c r="G14" s="3" t="n">
        <v>2034</v>
      </c>
      <c r="H14" s="3" t="n">
        <v>22.9</v>
      </c>
      <c r="I14" s="3" t="n">
        <v>2024</v>
      </c>
      <c r="J14" s="3" t="n">
        <v>1</v>
      </c>
    </row>
    <row r="15">
      <c r="A15" s="2" t="inlineStr">
        <is>
          <t>2024M02</t>
        </is>
      </c>
      <c r="B15" s="3" t="n">
        <v>80.5</v>
      </c>
      <c r="C15" s="3" t="n">
        <v>83.8</v>
      </c>
      <c r="D15" s="3" t="n">
        <v>2179</v>
      </c>
      <c r="E15" s="3" t="n">
        <v>124.4</v>
      </c>
      <c r="F15" s="3" t="n">
        <v>8305</v>
      </c>
      <c r="G15" s="3" t="n">
        <v>2023</v>
      </c>
      <c r="H15" s="3" t="n">
        <v>22.7</v>
      </c>
      <c r="I15" s="3" t="n">
        <v>2024</v>
      </c>
      <c r="J15" s="3" t="n">
        <v>2</v>
      </c>
    </row>
    <row r="16">
      <c r="A16" s="2" t="inlineStr">
        <is>
          <t>2024M03</t>
        </is>
      </c>
      <c r="B16" s="3" t="n">
        <v>83.5</v>
      </c>
      <c r="C16" s="3" t="n">
        <v>85.40000000000001</v>
      </c>
      <c r="D16" s="3" t="n">
        <v>2226</v>
      </c>
      <c r="E16" s="3" t="n">
        <v>109.8</v>
      </c>
      <c r="F16" s="3" t="n">
        <v>8689</v>
      </c>
      <c r="G16" s="3" t="n">
        <v>2158</v>
      </c>
      <c r="H16" s="3" t="n">
        <v>24.5</v>
      </c>
      <c r="I16" s="3" t="n">
        <v>2024</v>
      </c>
      <c r="J16" s="3" t="n">
        <v>3</v>
      </c>
    </row>
    <row r="17">
      <c r="A17" s="2" t="inlineStr">
        <is>
          <t>2024M04</t>
        </is>
      </c>
      <c r="B17" s="3" t="n">
        <v>88</v>
      </c>
      <c r="C17" s="3" t="n">
        <v>90.09999999999999</v>
      </c>
      <c r="D17" s="3" t="n">
        <v>2506</v>
      </c>
      <c r="E17" s="3" t="n">
        <v>112.8</v>
      </c>
      <c r="F17" s="3" t="n">
        <v>9464</v>
      </c>
      <c r="G17" s="3" t="n">
        <v>2331</v>
      </c>
      <c r="H17" s="3" t="n">
        <v>27.5</v>
      </c>
      <c r="I17" s="3" t="n">
        <v>2024</v>
      </c>
      <c r="J17" s="3" t="n">
        <v>4</v>
      </c>
    </row>
    <row r="18">
      <c r="A18" s="2" t="inlineStr">
        <is>
          <t>2024M05</t>
        </is>
      </c>
      <c r="B18" s="3" t="n">
        <v>81.40000000000001</v>
      </c>
      <c r="C18" s="3" t="n">
        <v>82</v>
      </c>
      <c r="D18" s="3" t="n">
        <v>2565</v>
      </c>
      <c r="E18" s="3" t="n">
        <v>118.9</v>
      </c>
      <c r="F18" s="3" t="n">
        <v>10139</v>
      </c>
      <c r="G18" s="3" t="n">
        <v>2351</v>
      </c>
      <c r="H18" s="3" t="n">
        <v>29.4</v>
      </c>
      <c r="I18" s="3" t="n">
        <v>2024</v>
      </c>
      <c r="J18" s="3" t="n">
        <v>5</v>
      </c>
    </row>
    <row r="19">
      <c r="A19" s="2" t="inlineStr">
        <is>
          <t>2024M06</t>
        </is>
      </c>
      <c r="B19" s="3" t="n">
        <v>81.2</v>
      </c>
      <c r="C19" s="3" t="n">
        <v>82.59999999999999</v>
      </c>
      <c r="D19" s="3" t="n">
        <v>2498</v>
      </c>
      <c r="E19" s="3" t="n">
        <v>107.5</v>
      </c>
      <c r="F19" s="3" t="n">
        <v>9648</v>
      </c>
      <c r="G19" s="3" t="n">
        <v>2326</v>
      </c>
      <c r="H19" s="3" t="n">
        <v>29.6</v>
      </c>
      <c r="I19" s="3" t="n">
        <v>2024</v>
      </c>
      <c r="J19" s="3" t="n">
        <v>6</v>
      </c>
    </row>
    <row r="20">
      <c r="A20" s="2" t="inlineStr">
        <is>
          <t>2024M07</t>
        </is>
      </c>
      <c r="B20" s="3" t="n">
        <v>83.3</v>
      </c>
      <c r="C20" s="3" t="n">
        <v>85.3</v>
      </c>
      <c r="D20" s="3" t="n">
        <v>2349</v>
      </c>
      <c r="E20" s="3" t="n">
        <v>106.9</v>
      </c>
      <c r="F20" s="3" t="n">
        <v>9385</v>
      </c>
      <c r="G20" s="3" t="n">
        <v>2398</v>
      </c>
      <c r="H20" s="3" t="n">
        <v>29.8</v>
      </c>
      <c r="I20" s="3" t="n">
        <v>2024</v>
      </c>
      <c r="J20" s="3" t="n">
        <v>7</v>
      </c>
    </row>
    <row r="21">
      <c r="A21" s="2" t="inlineStr">
        <is>
          <t>2024M08</t>
        </is>
      </c>
      <c r="B21" s="3" t="n">
        <v>78.09999999999999</v>
      </c>
      <c r="C21" s="3" t="n">
        <v>80.90000000000001</v>
      </c>
      <c r="D21" s="3" t="n">
        <v>2344</v>
      </c>
      <c r="E21" s="3" t="n">
        <v>99.90000000000001</v>
      </c>
      <c r="F21" s="3" t="n">
        <v>8972</v>
      </c>
      <c r="G21" s="3" t="n">
        <v>2470</v>
      </c>
      <c r="H21" s="3" t="n">
        <v>28.5</v>
      </c>
      <c r="I21" s="3" t="n">
        <v>2024</v>
      </c>
      <c r="J21" s="3" t="n">
        <v>8</v>
      </c>
    </row>
    <row r="22">
      <c r="A22" s="2" t="inlineStr">
        <is>
          <t>2024M09</t>
        </is>
      </c>
      <c r="B22" s="3" t="n">
        <v>72.40000000000001</v>
      </c>
      <c r="C22" s="3" t="n">
        <v>74.3</v>
      </c>
      <c r="D22" s="3" t="n">
        <v>2450</v>
      </c>
      <c r="E22" s="3" t="n">
        <v>92.8</v>
      </c>
      <c r="F22" s="3" t="n">
        <v>9237</v>
      </c>
      <c r="G22" s="3" t="n">
        <v>2571</v>
      </c>
      <c r="H22" s="3" t="n">
        <v>30.1</v>
      </c>
      <c r="I22" s="3" t="n">
        <v>2024</v>
      </c>
      <c r="J22" s="3" t="n">
        <v>9</v>
      </c>
    </row>
    <row r="23">
      <c r="A23" s="2" t="inlineStr">
        <is>
          <t>2024M10</t>
        </is>
      </c>
      <c r="B23" s="3" t="n">
        <v>74</v>
      </c>
      <c r="C23" s="3" t="n">
        <v>75.7</v>
      </c>
      <c r="D23" s="3" t="n">
        <v>2596</v>
      </c>
      <c r="E23" s="3" t="n">
        <v>101.4</v>
      </c>
      <c r="F23" s="3" t="n">
        <v>9534</v>
      </c>
      <c r="G23" s="3" t="n">
        <v>2690</v>
      </c>
      <c r="H23" s="3" t="n">
        <v>32.4</v>
      </c>
      <c r="I23" s="3" t="n">
        <v>2024</v>
      </c>
      <c r="J23" s="3" t="n">
        <v>10</v>
      </c>
    </row>
    <row r="24">
      <c r="A24" s="2" t="inlineStr">
        <is>
          <t>2024M11</t>
        </is>
      </c>
      <c r="B24" s="3" t="n">
        <v>72.3</v>
      </c>
      <c r="C24" s="3" t="n">
        <v>74.40000000000001</v>
      </c>
      <c r="D24" s="3" t="n">
        <v>2582</v>
      </c>
      <c r="E24" s="3" t="n">
        <v>100.5</v>
      </c>
      <c r="F24" s="3" t="n">
        <v>9076</v>
      </c>
      <c r="G24" s="3" t="n">
        <v>2651</v>
      </c>
      <c r="H24" s="3" t="n">
        <v>31.1</v>
      </c>
      <c r="I24" s="3" t="n">
        <v>2024</v>
      </c>
      <c r="J24" s="3" t="n">
        <v>11</v>
      </c>
    </row>
    <row r="25">
      <c r="A25" s="2" t="inlineStr">
        <is>
          <t>2024M12</t>
        </is>
      </c>
      <c r="B25" s="3" t="n">
        <v>72.3</v>
      </c>
      <c r="C25" s="3" t="n">
        <v>73.8</v>
      </c>
      <c r="D25" s="3" t="n">
        <v>2541</v>
      </c>
      <c r="E25" s="3" t="n">
        <v>102.2</v>
      </c>
      <c r="F25" s="3" t="n">
        <v>8916</v>
      </c>
      <c r="G25" s="3" t="n">
        <v>2648</v>
      </c>
      <c r="H25" s="3" t="n">
        <v>30.8</v>
      </c>
      <c r="I25" s="3" t="n">
        <v>2024</v>
      </c>
      <c r="J25" s="3" t="n">
        <v>12</v>
      </c>
    </row>
    <row r="26">
      <c r="A26" s="2" t="inlineStr">
        <is>
          <t>2025M01</t>
        </is>
      </c>
      <c r="B26" s="3" t="n">
        <v>78.2</v>
      </c>
      <c r="C26" s="3" t="n">
        <v>79.2</v>
      </c>
      <c r="D26" s="3" t="n">
        <v>2573</v>
      </c>
      <c r="E26" s="3" t="n">
        <v>99.59999999999999</v>
      </c>
      <c r="F26" s="3" t="n">
        <v>8991</v>
      </c>
      <c r="G26" s="3" t="n">
        <v>2710</v>
      </c>
      <c r="H26" s="3" t="n">
        <v>30.4</v>
      </c>
      <c r="I26" s="3" t="n">
        <v>2025</v>
      </c>
      <c r="J26" s="3" t="n">
        <v>1</v>
      </c>
    </row>
    <row r="27">
      <c r="A27" s="2" t="inlineStr">
        <is>
          <t>2025M02</t>
        </is>
      </c>
      <c r="B27" s="3" t="n">
        <v>73.8</v>
      </c>
      <c r="C27" s="3" t="n">
        <v>75.2</v>
      </c>
      <c r="D27" s="3" t="n">
        <v>2658</v>
      </c>
      <c r="E27" s="3" t="n">
        <v>105.1</v>
      </c>
      <c r="F27" s="3" t="n">
        <v>9331</v>
      </c>
      <c r="G27" s="3" t="n">
        <v>2895</v>
      </c>
      <c r="H27" s="3" t="n">
        <v>32.2</v>
      </c>
      <c r="I27" s="3" t="n">
        <v>2025</v>
      </c>
      <c r="J27" s="3" t="n">
        <v>2</v>
      </c>
    </row>
    <row r="28">
      <c r="A28" s="2" t="inlineStr">
        <is>
          <t>2025M03</t>
        </is>
      </c>
      <c r="B28" s="3" t="n">
        <v>70.7</v>
      </c>
      <c r="C28" s="3" t="n">
        <v>72.59999999999999</v>
      </c>
      <c r="D28" s="3" t="n">
        <v>2658</v>
      </c>
      <c r="E28" s="3" t="n">
        <v>100.1</v>
      </c>
      <c r="F28" s="3" t="n">
        <v>9740</v>
      </c>
      <c r="G28" s="3" t="n">
        <v>2983</v>
      </c>
      <c r="H28" s="3" t="n">
        <v>33.2</v>
      </c>
      <c r="I28" s="3" t="n">
        <v>2025</v>
      </c>
      <c r="J28" s="3" t="n">
        <v>3</v>
      </c>
    </row>
    <row r="29">
      <c r="A29" s="2" t="inlineStr">
        <is>
          <t>2025M04</t>
        </is>
      </c>
      <c r="B29" s="3" t="n">
        <v>65.90000000000001</v>
      </c>
      <c r="C29" s="3" t="n">
        <v>67.7</v>
      </c>
      <c r="D29" s="3" t="n">
        <v>2372</v>
      </c>
      <c r="E29" s="3" t="n">
        <v>97.2</v>
      </c>
      <c r="F29" s="3" t="n">
        <v>9177</v>
      </c>
      <c r="G29" s="3" t="n">
        <v>3218</v>
      </c>
      <c r="H29" s="3" t="n">
        <v>32.2</v>
      </c>
      <c r="I29" s="3" t="n">
        <v>2025</v>
      </c>
      <c r="J29" s="3" t="n">
        <v>4</v>
      </c>
    </row>
    <row r="30">
      <c r="A30" s="2" t="inlineStr">
        <is>
          <t>2025M05</t>
        </is>
      </c>
      <c r="B30" s="3" t="n">
        <v>62.7</v>
      </c>
      <c r="C30" s="3" t="n">
        <v>64.2</v>
      </c>
      <c r="D30" s="3" t="n">
        <v>2449</v>
      </c>
      <c r="E30" s="3" t="n">
        <v>97</v>
      </c>
      <c r="F30" s="3" t="n">
        <v>9533</v>
      </c>
      <c r="G30" s="3" t="n">
        <v>3309</v>
      </c>
      <c r="H30" s="3" t="n">
        <v>32.8</v>
      </c>
      <c r="I30" s="3" t="n">
        <v>2025</v>
      </c>
      <c r="J30" s="3" t="n">
        <v>5</v>
      </c>
    </row>
    <row r="31">
      <c r="A31" s="2" t="inlineStr">
        <is>
          <t>2025M06</t>
        </is>
      </c>
      <c r="B31" s="3" t="n">
        <v>69.09999999999999</v>
      </c>
      <c r="C31" s="3" t="n">
        <v>71.5</v>
      </c>
      <c r="D31" s="3" t="n">
        <v>2526</v>
      </c>
      <c r="E31" s="3" t="n">
        <v>92.3</v>
      </c>
      <c r="F31" s="3" t="n">
        <v>9835</v>
      </c>
      <c r="G31" s="3" t="n">
        <v>3353</v>
      </c>
      <c r="H31" s="3" t="n">
        <v>36</v>
      </c>
      <c r="I31" s="3" t="n">
        <v>2025</v>
      </c>
      <c r="J31" s="3" t="n">
        <v>6</v>
      </c>
    </row>
    <row r="32">
      <c r="A32" s="2" t="inlineStr">
        <is>
          <t>2025M07</t>
        </is>
      </c>
      <c r="B32" s="3" t="n">
        <v>69.2</v>
      </c>
      <c r="C32" s="3" t="n">
        <v>71</v>
      </c>
      <c r="D32" s="3" t="n">
        <v>2606</v>
      </c>
      <c r="E32" s="3" t="n">
        <v>97.3</v>
      </c>
      <c r="F32" s="3" t="n">
        <v>9771</v>
      </c>
      <c r="G32" s="3" t="n">
        <v>3340</v>
      </c>
      <c r="H32" s="3" t="n">
        <v>37.7</v>
      </c>
      <c r="I32" s="3" t="n">
        <v>2025</v>
      </c>
      <c r="J32" s="3" t="n">
        <v>7</v>
      </c>
    </row>
    <row r="33">
      <c r="A33" s="2" t="inlineStr">
        <is>
          <t>2025M08</t>
        </is>
      </c>
      <c r="B33" s="3" t="n">
        <v>66.7</v>
      </c>
      <c r="C33" s="3" t="n">
        <v>68.2</v>
      </c>
      <c r="D33" s="3" t="n">
        <v>2597</v>
      </c>
      <c r="E33" s="3" t="n">
        <v>99.7</v>
      </c>
      <c r="F33" s="3" t="n">
        <v>9670</v>
      </c>
      <c r="G33" s="3" t="n">
        <v>3368</v>
      </c>
      <c r="H33" s="3" t="n">
        <v>38.2</v>
      </c>
      <c r="I33" s="3" t="n">
        <v>2025</v>
      </c>
      <c r="J33" s="3" t="n">
        <v>8</v>
      </c>
    </row>
    <row r="34">
      <c r="A34" s="2" t="inlineStr">
        <is>
          <t>2025M09</t>
        </is>
      </c>
      <c r="B34" s="3" t="n">
        <v>66.5</v>
      </c>
      <c r="C34" s="3" t="n">
        <v>68</v>
      </c>
      <c r="D34" s="3" t="n">
        <v>2653</v>
      </c>
      <c r="E34" s="3" t="n">
        <v>103.3</v>
      </c>
      <c r="F34" s="3" t="n">
        <v>9984</v>
      </c>
      <c r="G34" s="3" t="n">
        <v>3668</v>
      </c>
      <c r="H34" s="3" t="n">
        <v>42.8</v>
      </c>
      <c r="I34" s="3" t="n">
        <v>2025</v>
      </c>
      <c r="J34" s="3" t="n">
        <v>9</v>
      </c>
    </row>
    <row r="35">
      <c r="A35" s="2" t="inlineStr">
        <is>
          <t>2025M10</t>
        </is>
      </c>
      <c r="B35" s="3" t="n">
        <v>63</v>
      </c>
      <c r="C35" s="3" t="n">
        <v>64.7</v>
      </c>
      <c r="D35" s="3" t="n">
        <v>2793</v>
      </c>
      <c r="E35" s="3" t="n">
        <v>103.5</v>
      </c>
      <c r="F35" s="3" t="n">
        <v>10740</v>
      </c>
      <c r="G35" s="3" t="n">
        <v>4058</v>
      </c>
      <c r="H35" s="3" t="n">
        <v>49.4</v>
      </c>
      <c r="I35" s="3" t="n">
        <v>2025</v>
      </c>
      <c r="J35" s="3" t="n">
        <v>10</v>
      </c>
    </row>
    <row r="36">
      <c r="A36" s="2" t="inlineStr">
        <is>
          <t>2025M11</t>
        </is>
      </c>
      <c r="B36" s="3" t="n">
        <v>62.3</v>
      </c>
      <c r="C36" s="3" t="n">
        <v>63.6</v>
      </c>
      <c r="D36" s="3" t="n">
        <v>2819</v>
      </c>
      <c r="E36" s="3" t="n">
        <v>102.5</v>
      </c>
      <c r="F36" s="3" t="n">
        <v>10812</v>
      </c>
      <c r="G36" s="3" t="n">
        <v>4087</v>
      </c>
      <c r="H36" s="3" t="n">
        <v>50.4</v>
      </c>
      <c r="I36" s="3" t="n">
        <v>2025</v>
      </c>
      <c r="J36" s="3" t="n">
        <v>11</v>
      </c>
    </row>
    <row r="37">
      <c r="A37" s="2" t="inlineStr">
        <is>
          <t>2025M12</t>
        </is>
      </c>
      <c r="B37" s="3" t="n">
        <v>60.9</v>
      </c>
      <c r="C37" s="3" t="n">
        <v>62.7</v>
      </c>
      <c r="D37" s="3" t="n">
        <v>2876</v>
      </c>
      <c r="E37" s="3" t="n">
        <v>104.6</v>
      </c>
      <c r="F37" s="3" t="n">
        <v>11785</v>
      </c>
      <c r="G37" s="3" t="n">
        <v>4309</v>
      </c>
      <c r="H37" s="3" t="n">
        <v>62.3</v>
      </c>
      <c r="I37" s="3" t="n">
        <v>2025</v>
      </c>
      <c r="J37" s="3" t="n">
        <v>12</v>
      </c>
    </row>
    <row r="38">
      <c r="A38" s="2" t="inlineStr">
        <is>
          <t>2026M01</t>
        </is>
      </c>
      <c r="B38" s="3" t="n">
        <v>63.7</v>
      </c>
      <c r="C38" s="3" t="n">
        <v>66.8</v>
      </c>
      <c r="D38" s="3" t="n">
        <v>3142</v>
      </c>
      <c r="E38" s="3" t="n">
        <v>105.5</v>
      </c>
      <c r="F38" s="3" t="n">
        <v>13012</v>
      </c>
      <c r="G38" s="3" t="n">
        <v>4753</v>
      </c>
      <c r="H38" s="3" t="n">
        <v>92.09999999999999</v>
      </c>
      <c r="I38" s="3" t="n">
        <v>2026</v>
      </c>
      <c r="J38" s="3" t="n">
        <v>1</v>
      </c>
    </row>
    <row r="39">
      <c r="A39" s="2" t="inlineStr">
        <is>
          <t>2026M02</t>
        </is>
      </c>
      <c r="B39" s="3" t="n">
        <v>68</v>
      </c>
      <c r="C39" s="3" t="n">
        <v>71.09999999999999</v>
      </c>
      <c r="D39" s="3" t="n">
        <v>3065</v>
      </c>
      <c r="E39" s="3" t="n">
        <v>98.8</v>
      </c>
      <c r="F39" s="3" t="n">
        <v>12951</v>
      </c>
      <c r="G39" s="3" t="n">
        <v>5020</v>
      </c>
      <c r="H39" s="3" t="n">
        <v>81.90000000000001</v>
      </c>
      <c r="I39" s="3" t="n">
        <v>2026</v>
      </c>
      <c r="J39" s="3" t="n">
        <v>2</v>
      </c>
    </row>
    <row r="40">
      <c r="A40" s="2" t="inlineStr">
        <is>
          <t>2026M03</t>
        </is>
      </c>
      <c r="B40" s="3" t="n">
        <v>95.59999999999999</v>
      </c>
      <c r="C40" s="3" t="n">
        <v>103.7</v>
      </c>
      <c r="D40" s="3" t="n">
        <v>3373</v>
      </c>
      <c r="E40" s="3" t="n">
        <v>104.5</v>
      </c>
      <c r="F40" s="3" t="n">
        <v>12529</v>
      </c>
      <c r="G40" s="3" t="n">
        <v>4856</v>
      </c>
      <c r="H40" s="3" t="n">
        <v>77.90000000000001</v>
      </c>
      <c r="I40" s="3" t="n">
        <v>2026</v>
      </c>
      <c r="J40" s="3" t="n">
        <v>3</v>
      </c>
    </row>
    <row r="41">
      <c r="A41" s="2" t="inlineStr">
        <is>
          <t>2026M04</t>
        </is>
      </c>
      <c r="B41" s="3" t="n">
        <v>103.9</v>
      </c>
      <c r="C41" s="3" t="n">
        <v>120.4</v>
      </c>
      <c r="D41" s="3" t="n">
        <v>3600</v>
      </c>
      <c r="E41" s="3" t="n">
        <v>106.1</v>
      </c>
      <c r="F41" s="3" t="n">
        <v>12951</v>
      </c>
      <c r="G41" s="3" t="n">
        <v>4721</v>
      </c>
      <c r="H41" s="3" t="n">
        <v>75.90000000000001</v>
      </c>
      <c r="I41" s="3" t="n">
        <v>2026</v>
      </c>
      <c r="J41" s="3" t="n">
        <v>4</v>
      </c>
    </row>
    <row r="42">
      <c r="A42" s="2" t="inlineStr">
        <is>
          <t>2026M05</t>
        </is>
      </c>
      <c r="B42" s="3" t="n">
        <v>100.4</v>
      </c>
      <c r="C42" s="3" t="n">
        <v>107.5</v>
      </c>
      <c r="D42" s="3" t="n">
        <v>3666</v>
      </c>
      <c r="E42" s="3" t="n">
        <v>108.6</v>
      </c>
      <c r="F42" s="3" t="n">
        <v>13543</v>
      </c>
      <c r="G42" s="3" t="n">
        <v>4587</v>
      </c>
      <c r="H42" s="3" t="n">
        <v>78</v>
      </c>
      <c r="I42" s="3" t="n">
        <v>2026</v>
      </c>
      <c r="J42" s="3" t="n">
        <v>5</v>
      </c>
    </row>
    <row r="43">
      <c r="A43" s="2" t="inlineStr">
        <is>
          <t>2026M06</t>
        </is>
      </c>
      <c r="B43" s="3" t="n">
        <v>81.7</v>
      </c>
      <c r="C43" s="3" t="n">
        <v>85.40000000000001</v>
      </c>
      <c r="D43" s="3" t="n">
        <v>3439</v>
      </c>
      <c r="E43" s="3" t="n">
        <v>100.8</v>
      </c>
      <c r="F43" s="3" t="n">
        <v>13552</v>
      </c>
      <c r="G43" s="3" t="n">
        <v>4228</v>
      </c>
      <c r="H43" s="3" t="n">
        <v>66.7</v>
      </c>
      <c r="I43" s="3" t="n">
        <v>2026</v>
      </c>
      <c r="J43" s="3" t="n">
        <v>6</v>
      </c>
    </row>
    <row r="44">
      <c r="A44" s="2" t="inlineStr">
        <is>
          <t>2026M07</t>
        </is>
      </c>
      <c r="B44" s="3" t="n">
        <v>79.8</v>
      </c>
      <c r="C44" s="3" t="n">
        <v>83.40000000000001</v>
      </c>
      <c r="D44" s="3" t="n">
        <v>3161</v>
      </c>
      <c r="E44" s="3" t="n">
        <v>98.2</v>
      </c>
      <c r="F44" s="3" t="n">
        <v>13543</v>
      </c>
      <c r="G44" s="3" t="n">
        <v>4073</v>
      </c>
      <c r="H44" s="3" t="n">
        <v>58.8</v>
      </c>
      <c r="I44" s="3" t="n">
        <v>2026</v>
      </c>
      <c r="J44" s="3" t="n">
        <v>7</v>
      </c>
    </row>
    <row r="45">
      <c r="A45" s="2" t="inlineStr">
        <is>
          <t>2026M08</t>
        </is>
      </c>
      <c r="B45" s="3" t="n">
        <v>84.40000000000001</v>
      </c>
      <c r="C45" s="3" t="n">
        <v>90.90000000000001</v>
      </c>
      <c r="D45" s="3" t="n">
        <v>3251</v>
      </c>
      <c r="E45" s="3" t="n">
        <v>96.3</v>
      </c>
      <c r="F45" s="3" t="n">
        <v>14326</v>
      </c>
      <c r="G45" s="3" t="n">
        <v>4411</v>
      </c>
      <c r="H45" s="3" t="n">
        <v>65.40000000000001</v>
      </c>
      <c r="I45" s="3" t="n">
        <v>2026</v>
      </c>
      <c r="J45" s="3" t="n">
        <v>8</v>
      </c>
    </row>
    <row r="46">
      <c r="A46" s="2" t="inlineStr">
        <is>
          <t>2026M09</t>
        </is>
      </c>
      <c r="B46" s="3" t="n">
        <v>102.3</v>
      </c>
      <c r="C46" s="3" t="n">
        <v>116.8</v>
      </c>
      <c r="D46" s="3" t="n">
        <v>3283</v>
      </c>
      <c r="E46" s="3" t="n">
        <v>97.7</v>
      </c>
      <c r="F46" s="3" t="n">
        <v>14474</v>
      </c>
      <c r="G46" s="3" t="n">
        <v>4319</v>
      </c>
      <c r="H46" s="3" t="n">
        <v>64.59999999999999</v>
      </c>
      <c r="I46" s="3" t="n">
        <v>2026</v>
      </c>
      <c r="J46" s="3" t="n">
        <v>9</v>
      </c>
    </row>
  </sheetData>
  <autoFilter ref="A1:J4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1" customWidth="1" min="3" max="3"/>
    <col width="31" customWidth="1" min="4" max="4"/>
  </cols>
  <sheetData>
    <row r="1" ht="30" customHeight="1">
      <c r="A1" s="1" t="inlineStr">
        <is>
          <t>品种</t>
        </is>
      </c>
      <c r="B1" s="1" t="inlineStr">
        <is>
          <t>2026年1-9月同比%</t>
        </is>
      </c>
      <c r="C1" s="1" t="n"/>
      <c r="D1" s="1" t="inlineStr">
        <is>
          <t>计算口径</t>
        </is>
      </c>
    </row>
    <row r="2">
      <c r="A2" s="2" t="inlineStr">
        <is>
          <t>原油均价($/bbl)</t>
        </is>
      </c>
      <c r="B2" s="3" t="n">
        <v>25.20873474630701</v>
      </c>
      <c r="C2" s="2" t="n"/>
      <c r="D2" s="2" t="inlineStr">
        <is>
          <t>2026年1-9月均价 ÷ 2025年1-9月均价 - 1</t>
        </is>
      </c>
    </row>
    <row r="3">
      <c r="A3" s="2" t="inlineStr">
        <is>
          <t>Brent($/bbl)</t>
        </is>
      </c>
      <c r="B3" s="3" t="n">
        <v>32.68506900878292</v>
      </c>
      <c r="C3" s="2" t="n"/>
      <c r="D3" s="2" t="n"/>
    </row>
    <row r="4">
      <c r="A4" s="2" t="inlineStr">
        <is>
          <t>铝($/mt)</t>
        </is>
      </c>
      <c r="B4" s="3" t="n">
        <v>29.82851203880132</v>
      </c>
      <c r="C4" s="2" t="n"/>
      <c r="D4" s="2" t="n"/>
    </row>
    <row r="5">
      <c r="A5" s="2" t="inlineStr">
        <is>
          <t>铁矿石($/dmt)</t>
        </is>
      </c>
      <c r="B5" s="3" t="n">
        <v>2.792732166890977</v>
      </c>
      <c r="C5" s="2" t="n"/>
      <c r="D5" s="2" t="n"/>
    </row>
    <row r="6">
      <c r="A6" s="2" t="inlineStr">
        <is>
          <t>铜($/mt)</t>
        </is>
      </c>
      <c r="B6" s="3" t="n">
        <v>40.5070206434815</v>
      </c>
      <c r="C6" s="2" t="n"/>
      <c r="D6" s="2" t="n"/>
    </row>
    <row r="7">
      <c r="A7" s="2" t="inlineStr">
        <is>
          <t>黄金($/toz)</t>
        </is>
      </c>
      <c r="B7" s="3" t="n">
        <v>42.03300513104979</v>
      </c>
      <c r="C7" s="2" t="n"/>
      <c r="D7" s="2" t="n"/>
    </row>
    <row r="8">
      <c r="A8" s="2" t="inlineStr">
        <is>
          <t>白银($/toz)</t>
        </is>
      </c>
      <c r="B8" s="3" t="n">
        <v>109.6038034865293</v>
      </c>
      <c r="C8" s="2" t="n"/>
      <c r="D8" s="2" t="n"/>
    </row>
  </sheetData>
  <autoFilter ref="A1:D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20" customWidth="1" min="4" max="4"/>
    <col width="11" customWidth="1" min="5" max="5"/>
    <col width="19" customWidth="1" min="6" max="6"/>
    <col width="16" customWidth="1" min="7" max="7"/>
    <col width="11" customWidth="1" min="8" max="8"/>
    <col width="20" customWidth="1" min="9" max="9"/>
    <col width="20" customWidth="1" min="10" max="10"/>
    <col width="42" customWidth="1" min="11" max="11"/>
  </cols>
  <sheetData>
    <row r="1" ht="30" customHeight="1">
      <c r="A1" s="1" t="inlineStr">
        <is>
          <t>公司</t>
        </is>
      </c>
      <c r="B1" s="1" t="inlineStr">
        <is>
          <t>原材料占制造成本%</t>
        </is>
      </c>
      <c r="C1" s="1" t="inlineStr">
        <is>
          <t>2025原材料成本亿元</t>
        </is>
      </c>
      <c r="D1" s="1" t="inlineStr">
        <is>
          <t>2025末原材料账面余额亿元</t>
        </is>
      </c>
      <c r="E1" s="1" t="inlineStr">
        <is>
          <t>跌价准备亿元</t>
        </is>
      </c>
      <c r="F1" s="1" t="inlineStr">
        <is>
          <t>2025末原材料账面净额亿元</t>
        </is>
      </c>
      <c r="G1" s="1" t="inlineStr">
        <is>
          <t>2024末原材料账面净额亿元</t>
        </is>
      </c>
      <c r="H1" s="1" t="inlineStr">
        <is>
          <t>来源</t>
        </is>
      </c>
      <c r="I1" s="1" t="inlineStr">
        <is>
          <t>原材料跌价准备率%</t>
        </is>
      </c>
      <c r="J1" s="1" t="inlineStr">
        <is>
          <t>原材料存货天数代理</t>
        </is>
      </c>
      <c r="K1" s="1" t="inlineStr">
        <is>
          <t>解释</t>
        </is>
      </c>
    </row>
    <row r="2">
      <c r="A2" s="2" t="inlineStr">
        <is>
          <t>格力电器</t>
        </is>
      </c>
      <c r="B2" s="3" t="n">
        <v>87.52</v>
      </c>
      <c r="C2" s="3" t="n">
        <v>853.494</v>
      </c>
      <c r="D2" s="3" t="n">
        <v>73.06700000000001</v>
      </c>
      <c r="E2" s="3" t="n">
        <v>8.881</v>
      </c>
      <c r="F2" s="3" t="n">
        <v>64.18599999999999</v>
      </c>
      <c r="G2" s="3" t="n">
        <v>67.191</v>
      </c>
      <c r="H2" s="2" t="inlineStr">
        <is>
          <t>S9</t>
        </is>
      </c>
      <c r="I2" s="3" t="n">
        <v>12.15459783486389</v>
      </c>
      <c r="J2" s="3" t="n">
        <v>28.09194030655166</v>
      </c>
      <c r="K2" s="2" t="inlineStr">
        <is>
          <t>原材料存货天数代理=(期初+期末原材料净额)/2÷本期原材料成本×365；不是完整采购合同或渠道库存周期。</t>
        </is>
      </c>
    </row>
    <row r="3">
      <c r="A3" s="2" t="inlineStr">
        <is>
          <t>美的集团</t>
        </is>
      </c>
      <c r="B3" s="3" t="n">
        <v>82.26000000000001</v>
      </c>
      <c r="C3" s="3" t="n">
        <v>2097.524</v>
      </c>
      <c r="D3" s="3" t="n">
        <v>121.046</v>
      </c>
      <c r="E3" s="3" t="n">
        <v>4.119</v>
      </c>
      <c r="F3" s="3" t="n">
        <v>116.927</v>
      </c>
      <c r="G3" s="3" t="n">
        <v>106.513</v>
      </c>
      <c r="H3" s="2" t="inlineStr">
        <is>
          <t>S10</t>
        </is>
      </c>
      <c r="I3" s="3" t="n">
        <v>3.40283859028799</v>
      </c>
      <c r="J3" s="3" t="n">
        <v>19.44092177252799</v>
      </c>
      <c r="K3" s="2" t="n"/>
    </row>
    <row r="4">
      <c r="A4" s="2" t="inlineStr">
        <is>
          <t>海尔智家</t>
        </is>
      </c>
      <c r="B4" s="3" t="n">
        <v>84</v>
      </c>
      <c r="C4" s="3" t="n">
        <v>1555.42</v>
      </c>
      <c r="D4" s="3" t="n">
        <v>65.467</v>
      </c>
      <c r="E4" s="3" t="n">
        <v>2.281</v>
      </c>
      <c r="F4" s="3" t="n">
        <v>63.186</v>
      </c>
      <c r="G4" s="3" t="n">
        <v>66.7</v>
      </c>
      <c r="H4" s="2" t="inlineStr">
        <is>
          <t>S11</t>
        </is>
      </c>
      <c r="I4" s="3" t="n">
        <v>3.484198145630623</v>
      </c>
      <c r="J4" s="3" t="n">
        <v>15.23973910583636</v>
      </c>
      <c r="K4" s="2" t="n"/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20" customWidth="1" min="4" max="4"/>
    <col width="20" customWidth="1" min="5" max="5"/>
    <col width="16" customWidth="1" min="6" max="6"/>
    <col width="11" customWidth="1" min="7" max="7"/>
    <col width="42" customWidth="1" min="8" max="8"/>
  </cols>
  <sheetData>
    <row r="1" ht="30" customHeight="1">
      <c r="A1" s="1" t="inlineStr">
        <is>
          <t>公司</t>
        </is>
      </c>
      <c r="B1" s="1" t="inlineStr">
        <is>
          <t>低情景毛利率下降pct</t>
        </is>
      </c>
      <c r="C1" s="1" t="inlineStr">
        <is>
          <t>中情景毛利率下降pct</t>
        </is>
      </c>
      <c r="D1" s="1" t="inlineStr">
        <is>
          <t>高情景毛利率下降pct</t>
        </is>
      </c>
      <c r="E1" s="1" t="inlineStr">
        <is>
          <t>广义原材料成本+1%毛利率下降pct</t>
        </is>
      </c>
      <c r="F1" s="1" t="inlineStr">
        <is>
          <t>说明</t>
        </is>
      </c>
      <c r="G1" s="1" t="n"/>
      <c r="H1" s="1" t="inlineStr">
        <is>
          <t>情景假设</t>
        </is>
      </c>
    </row>
    <row r="2">
      <c r="A2" s="2" t="inlineStr">
        <is>
          <t>格力电器</t>
        </is>
      </c>
      <c r="B2" s="3" t="n">
        <v>0.7876800000000002</v>
      </c>
      <c r="C2" s="3" t="n">
        <v>1.3128</v>
      </c>
      <c r="D2" s="3" t="n">
        <v>1.9692</v>
      </c>
      <c r="E2" s="3" t="n">
        <v>0.6564000000000001</v>
      </c>
      <c r="F2" s="2" t="inlineStr">
        <is>
          <t>仅为情景敏感性，不是盈利预测</t>
        </is>
      </c>
      <c r="G2" s="2" t="n"/>
      <c r="H2" s="2" t="inlineStr">
        <is>
          <t>成本率75%；金属占原材料20%/25%/30%；未对冲且未转嫁比例60%/80%/100%；金属价格+10%。</t>
        </is>
      </c>
    </row>
    <row r="3">
      <c r="A3" s="2" t="inlineStr">
        <is>
          <t>美的集团</t>
        </is>
      </c>
      <c r="B3" s="3" t="n">
        <v>0.7403400000000001</v>
      </c>
      <c r="C3" s="3" t="n">
        <v>1.2339</v>
      </c>
      <c r="D3" s="3" t="n">
        <v>1.85085</v>
      </c>
      <c r="E3" s="3" t="n">
        <v>0.61695</v>
      </c>
      <c r="F3" s="2" t="inlineStr">
        <is>
          <t>仅为情景敏感性，不是盈利预测</t>
        </is>
      </c>
      <c r="G3" s="2" t="n"/>
      <c r="H3" s="2" t="inlineStr">
        <is>
          <t>公式：毛利率冲击≈成本率×原材料占成本×金属占原料×未转嫁比例×价格变化。</t>
        </is>
      </c>
    </row>
    <row r="4">
      <c r="A4" s="2" t="inlineStr">
        <is>
          <t>海尔智家</t>
        </is>
      </c>
      <c r="B4" s="3" t="n">
        <v>0.7560000000000001</v>
      </c>
      <c r="C4" s="3" t="n">
        <v>1.26</v>
      </c>
      <c r="D4" s="3" t="n">
        <v>1.89</v>
      </c>
      <c r="E4" s="3" t="n">
        <v>0.63</v>
      </c>
      <c r="F4" s="2" t="inlineStr">
        <is>
          <t>仅为情景敏感性，不是盈利预测</t>
        </is>
      </c>
      <c r="G4" s="2" t="n"/>
      <c r="H4" s="2" t="n"/>
    </row>
  </sheetData>
  <autoFilter ref="A1:H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42" customWidth="1" min="3" max="3"/>
    <col width="39" customWidth="1" min="4" max="4"/>
  </cols>
  <sheetData>
    <row r="1" ht="30" customHeight="1">
      <c r="A1" s="1" t="inlineStr">
        <is>
          <t>编号</t>
        </is>
      </c>
      <c r="B1" s="1" t="inlineStr">
        <is>
          <t>来源名称</t>
        </is>
      </c>
      <c r="C1" s="1" t="inlineStr">
        <is>
          <t>URL</t>
        </is>
      </c>
      <c r="D1" s="1" t="inlineStr">
        <is>
          <t>用途</t>
        </is>
      </c>
    </row>
    <row r="2">
      <c r="A2" s="2" t="inlineStr">
        <is>
          <t>S1</t>
        </is>
      </c>
      <c r="B2" s="2" t="inlineStr">
        <is>
          <t>奥维云网数据转载：2025年初至6月1日品牌线上空调销量份额与均价</t>
        </is>
      </c>
      <c r="C2" s="4" t="inlineStr">
        <is>
          <t>https://www.lankeji.com/jiaju/2025/0609/71854.html</t>
        </is>
      </c>
      <c r="D2" s="2" t="inlineStr">
        <is>
          <t>品牌线上ASP、同比、销量份额</t>
        </is>
      </c>
    </row>
    <row r="3">
      <c r="A3" s="2" t="inlineStr">
        <is>
          <t>S2</t>
        </is>
      </c>
      <c r="B3" s="2" t="inlineStr">
        <is>
          <t>中国家电网：2025年上半年空调行业量额（数据源：产业在线、奥维云网）</t>
        </is>
      </c>
      <c r="C3" s="4" t="inlineStr">
        <is>
          <t>https://news.cheaa.com/2025/0806/648543.shtml</t>
        </is>
      </c>
      <c r="D3" s="2" t="inlineStr">
        <is>
          <t>2025H1全渠道零售量3845万台、零售额1263亿元；库存与价格战背景</t>
        </is>
      </c>
    </row>
    <row r="4">
      <c r="A4" s="2" t="inlineStr">
        <is>
          <t>S3</t>
        </is>
      </c>
      <c r="B4" s="2" t="inlineStr">
        <is>
          <t>财通证券研报摘要（数据源：奥维云网）</t>
        </is>
      </c>
      <c r="C4" s="4" t="inlineStr">
        <is>
          <t>https://www.fxbaogao.com/detail/4991112</t>
        </is>
      </c>
      <c r="D4" s="2" t="inlineStr">
        <is>
          <t>2025Q2线上零售额340亿元、销量1348万台、均价约2525元</t>
        </is>
      </c>
    </row>
    <row r="5">
      <c r="A5" s="2" t="inlineStr">
        <is>
          <t>S4</t>
        </is>
      </c>
      <c r="B5" s="2" t="inlineStr">
        <is>
          <t>财联社：2025年618渠道与1.5匹主流品牌价格观察</t>
        </is>
      </c>
      <c r="C5" s="4" t="inlineStr">
        <is>
          <t>https://www.cls.cn/detail/2046144</t>
        </is>
      </c>
      <c r="D5" s="2" t="inlineStr">
        <is>
          <t>线下均价、促销后1.5匹价格，作为点位校验</t>
        </is>
      </c>
    </row>
    <row r="6">
      <c r="A6" s="2" t="inlineStr">
        <is>
          <t>S5</t>
        </is>
      </c>
      <c r="B6" s="2" t="inlineStr">
        <is>
          <t>奥维云网：2026年618空调市场复盘（我的钢铁网转载）</t>
        </is>
      </c>
      <c r="C6" s="4" t="inlineStr">
        <is>
          <t>https://news.mysteel.com/a/26062516/11191BEF3E09F890.html</t>
        </is>
      </c>
      <c r="D6" s="2" t="inlineStr">
        <is>
          <t>线上/线下销额及均价</t>
        </is>
      </c>
    </row>
    <row r="7">
      <c r="A7" s="2" t="inlineStr">
        <is>
          <t>S6</t>
        </is>
      </c>
      <c r="B7" s="2" t="inlineStr">
        <is>
          <t>国金证券研报摘要：2026年618空调全渠道量额</t>
        </is>
      </c>
      <c r="C7" s="4" t="inlineStr">
        <is>
          <t>https://data.eastmoney.com/report/zw_industry.jshtml?infocode=AP202606281826514744</t>
        </is>
      </c>
      <c r="D7" s="2" t="inlineStr">
        <is>
          <t>全渠道销量1380万台、销额418亿元</t>
        </is>
      </c>
    </row>
    <row r="8">
      <c r="A8" s="2" t="inlineStr">
        <is>
          <t>S7</t>
        </is>
      </c>
      <c r="B8" s="2" t="inlineStr">
        <is>
          <t>世界银行 Commodity Markets 数据主页</t>
        </is>
      </c>
      <c r="C8" s="4" t="inlineStr">
        <is>
          <t>https://www.worldbank.org/en/research/commodity-markets</t>
        </is>
      </c>
      <c r="D8" s="2" t="inlineStr">
        <is>
          <t>Pink Sheet数据说明与最新版入口</t>
        </is>
      </c>
    </row>
    <row r="9">
      <c r="A9" s="2" t="inlineStr">
        <is>
          <t>S8</t>
        </is>
      </c>
      <c r="B9" s="2" t="inlineStr">
        <is>
          <t>世界银行 Pink Sheet 月度原始数据（2026-10-02更新）</t>
        </is>
      </c>
      <c r="C9" s="4" t="inlineStr">
        <is>
          <t>https://thedocs.worldbank.org/en/doc/74e8be41ceb20fa0da750cda2f6b9e4e-0050012026/related/CMO-Historical-Data-Monthly.xlsx</t>
        </is>
      </c>
      <c r="D9" s="2" t="inlineStr">
        <is>
          <t>原油、铝、铁矿石、铜、黄金、白银月均价</t>
        </is>
      </c>
    </row>
    <row r="10">
      <c r="A10" s="2" t="inlineStr">
        <is>
          <t>S9</t>
        </is>
      </c>
      <c r="B10" s="2" t="inlineStr">
        <is>
          <t>格力电器2025年年度报告（巨潮资讯）</t>
        </is>
      </c>
      <c r="C10" s="4" t="inlineStr">
        <is>
          <t>https://static.cninfo.com.cn/finalpage/2026-04-29/1225250396.PDF</t>
        </is>
      </c>
      <c r="D10" s="2" t="inlineStr">
        <is>
          <t>业务口径、成本构成、存货</t>
        </is>
      </c>
    </row>
    <row r="11">
      <c r="A11" s="2" t="inlineStr">
        <is>
          <t>S10</t>
        </is>
      </c>
      <c r="B11" s="2" t="inlineStr">
        <is>
          <t>美的集团投资者关系—财务报告（进入后选择2025年度报告）</t>
        </is>
      </c>
      <c r="C11" s="4" t="inlineStr">
        <is>
          <t>https://www.midea.com.cn/zh/Investors/Financial_Reports</t>
        </is>
      </c>
      <c r="D11" s="2" t="inlineStr">
        <is>
          <t>业务口径、成本构成、存货</t>
        </is>
      </c>
    </row>
    <row r="12">
      <c r="A12" s="2" t="inlineStr">
        <is>
          <t>S11</t>
        </is>
      </c>
      <c r="B12" s="2" t="inlineStr">
        <is>
          <t>海尔智家2025年年度报告（巨潮资讯）</t>
        </is>
      </c>
      <c r="C12" s="4" t="inlineStr">
        <is>
          <t>https://static.cninfo.com.cn/finalpage/2026-03-27/1225038336.PDF</t>
        </is>
      </c>
      <c r="D12" s="2" t="inlineStr">
        <is>
          <t>空调收入、成本构成、存货</t>
        </is>
      </c>
    </row>
  </sheetData>
  <autoFilter ref="A1:D1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30" customHeight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推荐用于横向比较的ASP</t>
        </is>
      </c>
      <c r="B2" s="2" t="inlineStr">
        <is>
          <t>2025年初至6月1日奥维云网线上主品牌零售均价：格力3528、美的2967、海尔2820元/台。</t>
        </is>
      </c>
    </row>
    <row r="3">
      <c r="A3" s="2" t="inlineStr">
        <is>
          <t>不能直接计算的指标</t>
        </is>
      </c>
      <c r="B3" s="2" t="inlineStr">
        <is>
          <t>三家公司综合出厂ASP：财报收入与销量口径均无法一一匹配。</t>
        </is>
      </c>
    </row>
    <row r="4">
      <c r="A4" s="2" t="inlineStr">
        <is>
          <t>单匹价格</t>
        </is>
      </c>
      <c r="B4" s="2" t="inlineStr">
        <is>
          <t>为标准化情景值（ASP÷假设平均匹数1.5/1.6/1.7），不可当作1匹SKU实际成交价。</t>
        </is>
      </c>
    </row>
    <row r="5">
      <c r="A5" s="2" t="inlineStr">
        <is>
          <t>大宗商品</t>
        </is>
      </c>
      <c r="B5" s="2" t="inlineStr">
        <is>
          <t>2023-2025为全年月均价平均；2026为1-9月平均；名义美元计价。</t>
        </is>
      </c>
    </row>
    <row r="6">
      <c r="A6" s="2" t="inlineStr">
        <is>
          <t>敏感性</t>
        </is>
      </c>
      <c r="B6" s="2" t="inlineStr">
        <is>
          <t>情景分析而非预测；实际结果受长协、套保、汇率、库存、产品结构、提价及供应商议价影响。</t>
        </is>
      </c>
    </row>
    <row r="7">
      <c r="A7" s="2" t="inlineStr">
        <is>
          <t>更新时间</t>
        </is>
      </c>
      <c r="B7" s="2" t="inlineStr">
        <is>
          <t>2026-10-06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2026-10-06T04:02:35Z</dcterms:created>
  <dcterms:modified xmlns:dcterms="http://purl.org/dc/terms/" xmlns:xsi="http://www.w3.org/2001/XMLSchema-instance" xsi:type="dcterms:W3CDTF">2026-10-06T04:02:35Z</dcterms:modified>
</cp:coreProperties>
</file>